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et\Downloads\"/>
    </mc:Choice>
  </mc:AlternateContent>
  <xr:revisionPtr revIDLastSave="0" documentId="13_ncr:1_{33A2BB01-4F8C-4227-8285-D8FFDA26B608}" xr6:coauthVersionLast="47" xr6:coauthVersionMax="47" xr10:uidLastSave="{00000000-0000-0000-0000-000000000000}"/>
  <bookViews>
    <workbookView xWindow="-108" yWindow="-108" windowWidth="23256" windowHeight="12456" firstSheet="1" activeTab="2" xr2:uid="{34900238-F7E4-45E2-A573-69A7215093E3}"/>
  </bookViews>
  <sheets>
    <sheet name="retail-orders-cleaned" sheetId="2" r:id="rId1"/>
    <sheet name="KPI Dictionary" sheetId="1" r:id="rId2"/>
    <sheet name="KPIDashboard" sheetId="3" r:id="rId3"/>
  </sheets>
  <definedNames>
    <definedName name="ExternalData_1" localSheetId="0" hidden="1">'retail-orders-cleaned'!$A$1:$I$8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  <c r="B12" i="3" s="1"/>
  <c r="B6" i="3"/>
  <c r="B7" i="3" a="1"/>
  <c r="B7" i="3" s="1"/>
  <c r="B8" i="3" s="1"/>
  <c r="B9" i="3"/>
  <c r="B10" i="3"/>
  <c r="B1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8B97E2-9E29-4EB5-A557-383C7DF26551}" keepAlive="1" name="Query - retail-orders-cleaned" description="Connection to the 'retail-orders-cleaned' query in the workbook." type="5" refreshedVersion="8" background="1" saveData="1">
    <dbPr connection="Provider=Microsoft.Mashup.OleDb.1;Data Source=$Workbook$;Location=retail-orders-cleaned;Extended Properties=&quot;&quot;" command="SELECT * FROM [retail-orders-cleane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<sst xmlns="http://schemas.openxmlformats.org/spreadsheetml/2006/main" count="137" uniqueCount="86">
  <si>
    <t>order_id</t>
  </si>
  <si>
    <t>order_date</t>
  </si>
  <si>
    <t>customer_segment</t>
  </si>
  <si>
    <t>city</t>
  </si>
  <si>
    <t>category</t>
  </si>
  <si>
    <t>quantity</t>
  </si>
  <si>
    <t>unit_price</t>
  </si>
  <si>
    <t>discount_pct</t>
  </si>
  <si>
    <t>payment_status</t>
  </si>
  <si>
    <t>RT-1001</t>
  </si>
  <si>
    <t>Student</t>
  </si>
  <si>
    <t>Chennai</t>
  </si>
  <si>
    <t>Learning Kit</t>
  </si>
  <si>
    <t>Paid</t>
  </si>
  <si>
    <t>RT-1002</t>
  </si>
  <si>
    <t>Fresher</t>
  </si>
  <si>
    <t>Bengaluru</t>
  </si>
  <si>
    <t>Course Access</t>
  </si>
  <si>
    <t>RT-1003</t>
  </si>
  <si>
    <t>Pending</t>
  </si>
  <si>
    <t>RT-1004</t>
  </si>
  <si>
    <t>Professional</t>
  </si>
  <si>
    <t>Hyderabad</t>
  </si>
  <si>
    <t>RT-1008</t>
  </si>
  <si>
    <t>RT-1009</t>
  </si>
  <si>
    <t>RT-1010</t>
  </si>
  <si>
    <t>Delhi</t>
  </si>
  <si>
    <t>Refunded</t>
  </si>
  <si>
    <t>KPI ID</t>
  </si>
  <si>
    <t>KPI Name</t>
  </si>
  <si>
    <t>Business Meaning</t>
  </si>
  <si>
    <t>Formula</t>
  </si>
  <si>
    <t>Grain</t>
  </si>
  <si>
    <t>Filters</t>
  </si>
  <si>
    <t>Decision Owner</t>
  </si>
  <si>
    <t xml:space="preserve">Refresh Frequency </t>
  </si>
  <si>
    <t>Data Quality Requirements</t>
  </si>
  <si>
    <t>KP1-01</t>
  </si>
  <si>
    <t>Total Orders</t>
  </si>
  <si>
    <t>Total number of unique orders</t>
  </si>
  <si>
    <t>COUNT DISTINCT(order_id)</t>
  </si>
  <si>
    <t>Order</t>
  </si>
  <si>
    <t>Date, City, Category, Segment</t>
  </si>
  <si>
    <t>Retail Operations Manager</t>
  </si>
  <si>
    <t>Daily</t>
  </si>
  <si>
    <t>order_id must be present and unique</t>
  </si>
  <si>
    <t>KP1-02</t>
  </si>
  <si>
    <t>Total Revenue</t>
  </si>
  <si>
    <t>Gross sales value before discount</t>
  </si>
  <si>
    <t>SUM(quantity × unit_price)</t>
  </si>
  <si>
    <t>quantity &gt; 0; unit_price &gt;= 0</t>
  </si>
  <si>
    <t>KP1-03</t>
  </si>
  <si>
    <t>Net Revenue</t>
  </si>
  <si>
    <t>Revenue after applying discounts</t>
  </si>
  <si>
    <t>SUM(quantity × unit_price × (1 - discount_pct/100))</t>
  </si>
  <si>
    <t>discount_pct must be 0-100</t>
  </si>
  <si>
    <t>KP1-04</t>
  </si>
  <si>
    <t>Average Order Value</t>
  </si>
  <si>
    <t>Average net revenue generated per order</t>
  </si>
  <si>
    <t>Net Revenue / Total Orders</t>
  </si>
  <si>
    <t>Valid order_id and revenue</t>
  </si>
  <si>
    <t>KP1-05</t>
  </si>
  <si>
    <t>Total Units Sold</t>
  </si>
  <si>
    <t>Total  number of units purchased</t>
  </si>
  <si>
    <t>SUM(quantity)</t>
  </si>
  <si>
    <t>Date,  Category, Segment</t>
  </si>
  <si>
    <t>quantity must be whole number &gt; 0</t>
  </si>
  <si>
    <t>KP1-06</t>
  </si>
  <si>
    <t>Average Discount %</t>
  </si>
  <si>
    <t>Average discount applied across orders</t>
  </si>
  <si>
    <t>AVG(discount_pct)</t>
  </si>
  <si>
    <t>KP1-07</t>
  </si>
  <si>
    <t>Paid Order Rate</t>
  </si>
  <si>
    <t>Percentage of orders successfully</t>
  </si>
  <si>
    <t>Paid Orders / Total Orders × 100</t>
  </si>
  <si>
    <t>payment_status must be valid</t>
  </si>
  <si>
    <t>KP1-08</t>
  </si>
  <si>
    <t>Pending Order Rate</t>
  </si>
  <si>
    <t>Percentage of orders awaiting payment</t>
  </si>
  <si>
    <t>Pending Orders / Total Orders × 100</t>
  </si>
  <si>
    <t>Date, Category, Segment</t>
  </si>
  <si>
    <t>KPI</t>
  </si>
  <si>
    <t>Value</t>
  </si>
  <si>
    <t>Average Discount</t>
  </si>
  <si>
    <t>KPI DASHBOARD</t>
  </si>
  <si>
    <t>KPI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</si>
</sst>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2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1" fillId="0" borderId="3" xfId="0" applyFont="1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 val="0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9DDF0"/>
      <color rgb="FF3B1B4F"/>
      <color rgb="FFE8C7CE"/>
      <color rgb="FF641E2B"/>
      <color rgb="FFF4E6E8"/>
      <color rgb="FF4A1820"/>
      <color rgb="FFF3DCE2"/>
      <color rgb="FF70263D"/>
      <color rgb="FFF1E1E5"/>
      <color rgb="FF5A1E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4</xdr:row>
      <xdr:rowOff>152400</xdr:rowOff>
    </xdr:from>
    <xdr:to>
      <xdr:col>8</xdr:col>
      <xdr:colOff>350520</xdr:colOff>
      <xdr:row>10</xdr:row>
      <xdr:rowOff>121920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336F003-C4FB-751E-3554-AF80A0191C1B}"/>
            </a:ext>
          </a:extLst>
        </xdr:cNvPr>
        <xdr:cNvSpPr/>
      </xdr:nvSpPr>
      <xdr:spPr>
        <a:xfrm>
          <a:off x="4152900" y="335280"/>
          <a:ext cx="1905000" cy="1066800"/>
        </a:xfrm>
        <a:prstGeom prst="roundRect">
          <a:avLst/>
        </a:prstGeom>
        <a:solidFill>
          <a:srgbClr val="E9DDF0"/>
        </a:solidFill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571500</xdr:colOff>
      <xdr:row>5</xdr:row>
      <xdr:rowOff>99060</xdr:rowOff>
    </xdr:from>
    <xdr:to>
      <xdr:col>8</xdr:col>
      <xdr:colOff>60960</xdr:colOff>
      <xdr:row>6</xdr:row>
      <xdr:rowOff>160020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279B56-E696-6AAE-C02A-BA00D8C68CD1}"/>
            </a:ext>
          </a:extLst>
        </xdr:cNvPr>
        <xdr:cNvSpPr txBox="1"/>
      </xdr:nvSpPr>
      <xdr:spPr>
        <a:xfrm>
          <a:off x="4450080" y="464820"/>
          <a:ext cx="1318260" cy="24384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Orders</a:t>
          </a:r>
        </a:p>
      </xdr:txBody>
    </xdr:sp>
    <xdr:clientData/>
  </xdr:twoCellAnchor>
  <xdr:twoCellAnchor>
    <xdr:from>
      <xdr:col>6</xdr:col>
      <xdr:colOff>457200</xdr:colOff>
      <xdr:row>7</xdr:row>
      <xdr:rowOff>121920</xdr:rowOff>
    </xdr:from>
    <xdr:to>
      <xdr:col>7</xdr:col>
      <xdr:colOff>121920</xdr:colOff>
      <xdr:row>9</xdr:row>
      <xdr:rowOff>45720</xdr:rowOff>
    </xdr:to>
    <xdr:sp macro="" textlink="KPIDashboard!$B$5">
      <xdr:nvSpPr>
        <xdr:cNvPr id="4" name="TextBox 3">
          <a:extLst>
            <a:ext uri="{FF2B5EF4-FFF2-40B4-BE49-F238E27FC236}">
              <a16:creationId xmlns:a16="http://schemas.microsoft.com/office/drawing/2014/main" id="{2FFFE211-91D5-3541-5A37-481E9B63B088}"/>
            </a:ext>
          </a:extLst>
        </xdr:cNvPr>
        <xdr:cNvSpPr txBox="1"/>
      </xdr:nvSpPr>
      <xdr:spPr>
        <a:xfrm>
          <a:off x="4945380" y="853440"/>
          <a:ext cx="274320" cy="2895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91DF246-3CFF-4C0B-9B05-34E939BBD243}" type="TxLink">
            <a:rPr lang="en-US" sz="1600" b="1" i="0" u="none" strike="noStrike">
              <a:solidFill>
                <a:schemeClr val="tx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/>
            <a:t>7</a:t>
          </a:fld>
          <a:endParaRPr lang="en-IN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373380</xdr:colOff>
      <xdr:row>4</xdr:row>
      <xdr:rowOff>152400</xdr:rowOff>
    </xdr:from>
    <xdr:to>
      <xdr:col>12</xdr:col>
      <xdr:colOff>449580</xdr:colOff>
      <xdr:row>10</xdr:row>
      <xdr:rowOff>121920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09B3DFB-22A3-4751-8E33-544E31FA1DC1}"/>
            </a:ext>
          </a:extLst>
        </xdr:cNvPr>
        <xdr:cNvSpPr/>
      </xdr:nvSpPr>
      <xdr:spPr>
        <a:xfrm>
          <a:off x="6690360" y="335280"/>
          <a:ext cx="1905000" cy="1066800"/>
        </a:xfrm>
        <a:prstGeom prst="roundRect">
          <a:avLst/>
        </a:prstGeom>
        <a:solidFill>
          <a:srgbClr val="3B1B4F"/>
        </a:solidFill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99060</xdr:colOff>
      <xdr:row>5</xdr:row>
      <xdr:rowOff>106680</xdr:rowOff>
    </xdr:from>
    <xdr:to>
      <xdr:col>12</xdr:col>
      <xdr:colOff>198120</xdr:colOff>
      <xdr:row>6</xdr:row>
      <xdr:rowOff>167640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39991B5-6908-4F09-B844-E1E7C19AD4FD}"/>
            </a:ext>
          </a:extLst>
        </xdr:cNvPr>
        <xdr:cNvSpPr txBox="1"/>
      </xdr:nvSpPr>
      <xdr:spPr>
        <a:xfrm>
          <a:off x="7025640" y="472440"/>
          <a:ext cx="131826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Revenue</a:t>
          </a:r>
        </a:p>
      </xdr:txBody>
    </xdr:sp>
    <xdr:clientData/>
  </xdr:twoCellAnchor>
  <xdr:twoCellAnchor>
    <xdr:from>
      <xdr:col>10</xdr:col>
      <xdr:colOff>381000</xdr:colOff>
      <xdr:row>7</xdr:row>
      <xdr:rowOff>83820</xdr:rowOff>
    </xdr:from>
    <xdr:to>
      <xdr:col>12</xdr:col>
      <xdr:colOff>45720</xdr:colOff>
      <xdr:row>9</xdr:row>
      <xdr:rowOff>7620</xdr:rowOff>
    </xdr:to>
    <xdr:sp macro="" textlink="KPIDashboard!$B$6">
      <xdr:nvSpPr>
        <xdr:cNvPr id="7" name="TextBox 6">
          <a:extLst>
            <a:ext uri="{FF2B5EF4-FFF2-40B4-BE49-F238E27FC236}">
              <a16:creationId xmlns:a16="http://schemas.microsoft.com/office/drawing/2014/main" id="{D69E1146-74F5-491A-856D-B4F1F7873964}"/>
            </a:ext>
          </a:extLst>
        </xdr:cNvPr>
        <xdr:cNvSpPr txBox="1"/>
      </xdr:nvSpPr>
      <xdr:spPr>
        <a:xfrm>
          <a:off x="7307580" y="815340"/>
          <a:ext cx="88392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27B93A6-88A6-442F-B064-43B7A448A5FB}" type="TxLink">
            <a:rPr lang="en-US" sz="16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/>
            <a:t>13788</a:t>
          </a:fld>
          <a:endParaRPr lang="en-IN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182880</xdr:colOff>
      <xdr:row>5</xdr:row>
      <xdr:rowOff>7620</xdr:rowOff>
    </xdr:from>
    <xdr:to>
      <xdr:col>21</xdr:col>
      <xdr:colOff>259080</xdr:colOff>
      <xdr:row>10</xdr:row>
      <xdr:rowOff>160020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93847E38-B299-4341-AC8E-DB625E11CE62}"/>
            </a:ext>
          </a:extLst>
        </xdr:cNvPr>
        <xdr:cNvSpPr/>
      </xdr:nvSpPr>
      <xdr:spPr>
        <a:xfrm>
          <a:off x="11986260" y="373380"/>
          <a:ext cx="1905000" cy="1066800"/>
        </a:xfrm>
        <a:prstGeom prst="roundRect">
          <a:avLst/>
        </a:prstGeom>
        <a:solidFill>
          <a:srgbClr val="641E2B"/>
        </a:solidFill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213360</xdr:colOff>
      <xdr:row>5</xdr:row>
      <xdr:rowOff>83820</xdr:rowOff>
    </xdr:from>
    <xdr:to>
      <xdr:col>21</xdr:col>
      <xdr:colOff>274320</xdr:colOff>
      <xdr:row>7</xdr:row>
      <xdr:rowOff>144780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923B0A0-3F74-4A99-9AD0-66B1C99EA2F0}"/>
            </a:ext>
          </a:extLst>
        </xdr:cNvPr>
        <xdr:cNvSpPr txBox="1"/>
      </xdr:nvSpPr>
      <xdr:spPr>
        <a:xfrm>
          <a:off x="12016740" y="449580"/>
          <a:ext cx="188976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 Order Value</a:t>
          </a:r>
        </a:p>
      </xdr:txBody>
    </xdr:sp>
    <xdr:clientData/>
  </xdr:twoCellAnchor>
  <xdr:twoCellAnchor>
    <xdr:from>
      <xdr:col>18</xdr:col>
      <xdr:colOff>586740</xdr:colOff>
      <xdr:row>7</xdr:row>
      <xdr:rowOff>114300</xdr:rowOff>
    </xdr:from>
    <xdr:to>
      <xdr:col>20</xdr:col>
      <xdr:colOff>533400</xdr:colOff>
      <xdr:row>9</xdr:row>
      <xdr:rowOff>38100</xdr:rowOff>
    </xdr:to>
    <xdr:sp macro="" textlink="KPIDashboard!$B$8">
      <xdr:nvSpPr>
        <xdr:cNvPr id="10" name="TextBox 9">
          <a:extLst>
            <a:ext uri="{FF2B5EF4-FFF2-40B4-BE49-F238E27FC236}">
              <a16:creationId xmlns:a16="http://schemas.microsoft.com/office/drawing/2014/main" id="{7341E2E8-066C-4F35-8843-D9EA453817B4}"/>
            </a:ext>
          </a:extLst>
        </xdr:cNvPr>
        <xdr:cNvSpPr txBox="1"/>
      </xdr:nvSpPr>
      <xdr:spPr>
        <a:xfrm>
          <a:off x="12390120" y="845820"/>
          <a:ext cx="116586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6D098D5-E2F2-4BB5-A947-2CE47139B68A}" type="TxLink">
            <a:rPr lang="en-US" sz="16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/>
            <a:t>1865.521429</a:t>
          </a:fld>
          <a:endParaRPr lang="en-IN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22860</xdr:colOff>
      <xdr:row>5</xdr:row>
      <xdr:rowOff>0</xdr:rowOff>
    </xdr:from>
    <xdr:to>
      <xdr:col>17</xdr:col>
      <xdr:colOff>99060</xdr:colOff>
      <xdr:row>10</xdr:row>
      <xdr:rowOff>152400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5227A1A-29EB-49E0-B710-F04B3E5EFF12}"/>
            </a:ext>
          </a:extLst>
        </xdr:cNvPr>
        <xdr:cNvSpPr/>
      </xdr:nvSpPr>
      <xdr:spPr>
        <a:xfrm>
          <a:off x="9387840" y="365760"/>
          <a:ext cx="1905000" cy="1066800"/>
        </a:xfrm>
        <a:prstGeom prst="roundRect">
          <a:avLst/>
        </a:prstGeom>
        <a:solidFill>
          <a:srgbClr val="E8C7CE"/>
        </a:solidFill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312420</xdr:colOff>
      <xdr:row>5</xdr:row>
      <xdr:rowOff>137160</xdr:rowOff>
    </xdr:from>
    <xdr:to>
      <xdr:col>16</xdr:col>
      <xdr:colOff>411480</xdr:colOff>
      <xdr:row>7</xdr:row>
      <xdr:rowOff>15240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BE83F6B-C0A8-493A-AE15-09C146C6D293}"/>
            </a:ext>
          </a:extLst>
        </xdr:cNvPr>
        <xdr:cNvSpPr txBox="1"/>
      </xdr:nvSpPr>
      <xdr:spPr>
        <a:xfrm>
          <a:off x="9677400" y="502920"/>
          <a:ext cx="131826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Net Revenue</a:t>
          </a:r>
        </a:p>
      </xdr:txBody>
    </xdr:sp>
    <xdr:clientData/>
  </xdr:twoCellAnchor>
  <xdr:twoCellAnchor>
    <xdr:from>
      <xdr:col>14</xdr:col>
      <xdr:colOff>464820</xdr:colOff>
      <xdr:row>7</xdr:row>
      <xdr:rowOff>114300</xdr:rowOff>
    </xdr:from>
    <xdr:to>
      <xdr:col>16</xdr:col>
      <xdr:colOff>198120</xdr:colOff>
      <xdr:row>9</xdr:row>
      <xdr:rowOff>38100</xdr:rowOff>
    </xdr:to>
    <xdr:sp macro="" textlink="KPIDashboard!$B$7">
      <xdr:nvSpPr>
        <xdr:cNvPr id="13" name="TextBox 12">
          <a:extLst>
            <a:ext uri="{FF2B5EF4-FFF2-40B4-BE49-F238E27FC236}">
              <a16:creationId xmlns:a16="http://schemas.microsoft.com/office/drawing/2014/main" id="{5D4EACE3-1ECD-4A56-BE85-E6F121CD756F}"/>
            </a:ext>
          </a:extLst>
        </xdr:cNvPr>
        <xdr:cNvSpPr txBox="1"/>
      </xdr:nvSpPr>
      <xdr:spPr>
        <a:xfrm>
          <a:off x="9829800" y="845820"/>
          <a:ext cx="95250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E902222-683C-4715-BB69-483956F12DF8}" type="TxLink">
            <a:rPr lang="en-US" sz="16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/>
            <a:t>13058.65</a:t>
          </a:fld>
          <a:endParaRPr lang="en-IN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236220</xdr:colOff>
      <xdr:row>14</xdr:row>
      <xdr:rowOff>7620</xdr:rowOff>
    </xdr:from>
    <xdr:to>
      <xdr:col>8</xdr:col>
      <xdr:colOff>312420</xdr:colOff>
      <xdr:row>19</xdr:row>
      <xdr:rowOff>160020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EE98E7B0-47E7-4B4A-B294-9E16E0C2B651}"/>
            </a:ext>
          </a:extLst>
        </xdr:cNvPr>
        <xdr:cNvSpPr/>
      </xdr:nvSpPr>
      <xdr:spPr>
        <a:xfrm>
          <a:off x="4114800" y="2019300"/>
          <a:ext cx="1905000" cy="1066800"/>
        </a:xfrm>
        <a:prstGeom prst="roundRect">
          <a:avLst/>
        </a:prstGeom>
        <a:solidFill>
          <a:srgbClr val="3B1B4F"/>
        </a:solidFill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480060</xdr:colOff>
      <xdr:row>14</xdr:row>
      <xdr:rowOff>144780</xdr:rowOff>
    </xdr:from>
    <xdr:to>
      <xdr:col>8</xdr:col>
      <xdr:colOff>152400</xdr:colOff>
      <xdr:row>16</xdr:row>
      <xdr:rowOff>83820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6129C6C-519D-4C1B-B577-65FB95AE958C}"/>
            </a:ext>
          </a:extLst>
        </xdr:cNvPr>
        <xdr:cNvSpPr txBox="1"/>
      </xdr:nvSpPr>
      <xdr:spPr>
        <a:xfrm>
          <a:off x="4358640" y="2156460"/>
          <a:ext cx="150114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Units Sold</a:t>
          </a:r>
        </a:p>
      </xdr:txBody>
    </xdr:sp>
    <xdr:clientData/>
  </xdr:twoCellAnchor>
  <xdr:twoCellAnchor>
    <xdr:from>
      <xdr:col>6</xdr:col>
      <xdr:colOff>358140</xdr:colOff>
      <xdr:row>16</xdr:row>
      <xdr:rowOff>167640</xdr:rowOff>
    </xdr:from>
    <xdr:to>
      <xdr:col>7</xdr:col>
      <xdr:colOff>160020</xdr:colOff>
      <xdr:row>18</xdr:row>
      <xdr:rowOff>121920</xdr:rowOff>
    </xdr:to>
    <xdr:sp macro="" textlink="KPIDashboard!$B$9">
      <xdr:nvSpPr>
        <xdr:cNvPr id="16" name="TextBox 15">
          <a:extLst>
            <a:ext uri="{FF2B5EF4-FFF2-40B4-BE49-F238E27FC236}">
              <a16:creationId xmlns:a16="http://schemas.microsoft.com/office/drawing/2014/main" id="{4D6B6B28-B6FF-4B9F-9B26-EE503FBCD040}"/>
            </a:ext>
          </a:extLst>
        </xdr:cNvPr>
        <xdr:cNvSpPr txBox="1"/>
      </xdr:nvSpPr>
      <xdr:spPr>
        <a:xfrm>
          <a:off x="4846320" y="2545080"/>
          <a:ext cx="41148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DBDDBED-EE0C-4464-A7EE-EA0AB502F1FD}" type="TxLink">
            <a:rPr lang="en-US" sz="16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/>
            <a:t>12</a:t>
          </a:fld>
          <a:endParaRPr lang="en-IN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350520</xdr:colOff>
      <xdr:row>14</xdr:row>
      <xdr:rowOff>0</xdr:rowOff>
    </xdr:from>
    <xdr:to>
      <xdr:col>12</xdr:col>
      <xdr:colOff>426720</xdr:colOff>
      <xdr:row>19</xdr:row>
      <xdr:rowOff>152400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AEDFF203-3190-491E-A0E2-63F9194A3CB8}"/>
            </a:ext>
          </a:extLst>
        </xdr:cNvPr>
        <xdr:cNvSpPr/>
      </xdr:nvSpPr>
      <xdr:spPr>
        <a:xfrm>
          <a:off x="6667500" y="2011680"/>
          <a:ext cx="1905000" cy="1066800"/>
        </a:xfrm>
        <a:prstGeom prst="roundRect">
          <a:avLst/>
        </a:prstGeom>
        <a:solidFill>
          <a:srgbClr val="E9DDF0"/>
        </a:solidFill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601980</xdr:colOff>
      <xdr:row>14</xdr:row>
      <xdr:rowOff>129540</xdr:rowOff>
    </xdr:from>
    <xdr:to>
      <xdr:col>12</xdr:col>
      <xdr:colOff>304800</xdr:colOff>
      <xdr:row>16</xdr:row>
      <xdr:rowOff>83820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B095430-C22D-41F9-A8BE-08587B726EFF}"/>
            </a:ext>
          </a:extLst>
        </xdr:cNvPr>
        <xdr:cNvSpPr txBox="1"/>
      </xdr:nvSpPr>
      <xdr:spPr>
        <a:xfrm>
          <a:off x="6918960" y="2141220"/>
          <a:ext cx="153162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 discount</a:t>
          </a:r>
        </a:p>
      </xdr:txBody>
    </xdr:sp>
    <xdr:clientData/>
  </xdr:twoCellAnchor>
  <xdr:twoCellAnchor>
    <xdr:from>
      <xdr:col>10</xdr:col>
      <xdr:colOff>152400</xdr:colOff>
      <xdr:row>16</xdr:row>
      <xdr:rowOff>114300</xdr:rowOff>
    </xdr:from>
    <xdr:to>
      <xdr:col>12</xdr:col>
      <xdr:colOff>327660</xdr:colOff>
      <xdr:row>18</xdr:row>
      <xdr:rowOff>38100</xdr:rowOff>
    </xdr:to>
    <xdr:sp macro="" textlink="KPIDashboard!$B$10">
      <xdr:nvSpPr>
        <xdr:cNvPr id="19" name="TextBox 18">
          <a:extLst>
            <a:ext uri="{FF2B5EF4-FFF2-40B4-BE49-F238E27FC236}">
              <a16:creationId xmlns:a16="http://schemas.microsoft.com/office/drawing/2014/main" id="{C9B0B48B-C8FA-41FD-840A-8DB43F8B73C1}"/>
            </a:ext>
          </a:extLst>
        </xdr:cNvPr>
        <xdr:cNvSpPr txBox="1"/>
      </xdr:nvSpPr>
      <xdr:spPr>
        <a:xfrm>
          <a:off x="7078980" y="2491740"/>
          <a:ext cx="139446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77A69C0-FC0A-409B-947D-B4090F835C59}" type="TxLink">
            <a:rPr lang="en-US" sz="1600" b="1" i="0" u="none" strike="noStrike">
              <a:solidFill>
                <a:schemeClr val="tx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/>
            <a:t>4.285714286</a:t>
          </a:fld>
          <a:endParaRPr lang="en-IN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30480</xdr:colOff>
      <xdr:row>14</xdr:row>
      <xdr:rowOff>0</xdr:rowOff>
    </xdr:from>
    <xdr:to>
      <xdr:col>17</xdr:col>
      <xdr:colOff>106680</xdr:colOff>
      <xdr:row>19</xdr:row>
      <xdr:rowOff>152400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8C08943-525E-48D7-8A0B-7EE0588E2A39}"/>
            </a:ext>
          </a:extLst>
        </xdr:cNvPr>
        <xdr:cNvSpPr/>
      </xdr:nvSpPr>
      <xdr:spPr>
        <a:xfrm>
          <a:off x="9395460" y="2011680"/>
          <a:ext cx="1905000" cy="1066800"/>
        </a:xfrm>
        <a:prstGeom prst="roundRect">
          <a:avLst/>
        </a:prstGeom>
        <a:solidFill>
          <a:srgbClr val="641E2B"/>
        </a:solidFill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236220</xdr:colOff>
      <xdr:row>14</xdr:row>
      <xdr:rowOff>137160</xdr:rowOff>
    </xdr:from>
    <xdr:to>
      <xdr:col>16</xdr:col>
      <xdr:colOff>571500</xdr:colOff>
      <xdr:row>16</xdr:row>
      <xdr:rowOff>106680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F4C08B6-7352-4D6C-BD27-C5FF02C05D73}"/>
            </a:ext>
          </a:extLst>
        </xdr:cNvPr>
        <xdr:cNvSpPr txBox="1"/>
      </xdr:nvSpPr>
      <xdr:spPr>
        <a:xfrm>
          <a:off x="9601200" y="2148840"/>
          <a:ext cx="1554480" cy="335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Paid Order Rate</a:t>
          </a:r>
        </a:p>
      </xdr:txBody>
    </xdr:sp>
    <xdr:clientData/>
  </xdr:twoCellAnchor>
  <xdr:twoCellAnchor>
    <xdr:from>
      <xdr:col>14</xdr:col>
      <xdr:colOff>388620</xdr:colOff>
      <xdr:row>16</xdr:row>
      <xdr:rowOff>106680</xdr:rowOff>
    </xdr:from>
    <xdr:to>
      <xdr:col>17</xdr:col>
      <xdr:colOff>30480</xdr:colOff>
      <xdr:row>18</xdr:row>
      <xdr:rowOff>30480</xdr:rowOff>
    </xdr:to>
    <xdr:sp macro="" textlink="KPIDashboard!$B$11">
      <xdr:nvSpPr>
        <xdr:cNvPr id="22" name="TextBox 21">
          <a:extLst>
            <a:ext uri="{FF2B5EF4-FFF2-40B4-BE49-F238E27FC236}">
              <a16:creationId xmlns:a16="http://schemas.microsoft.com/office/drawing/2014/main" id="{84F292C2-3173-43E0-A0EC-561C0174F44E}"/>
            </a:ext>
          </a:extLst>
        </xdr:cNvPr>
        <xdr:cNvSpPr txBox="1"/>
      </xdr:nvSpPr>
      <xdr:spPr>
        <a:xfrm>
          <a:off x="9753600" y="2484120"/>
          <a:ext cx="147066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B4EFEB3-FD2D-4F80-8593-45BDE1EDE721}" type="TxLink">
            <a:rPr lang="en-US" sz="1600" b="1" i="0" u="none" strike="noStrike">
              <a:solidFill>
                <a:schemeClr val="bg1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/>
            <a:t>0.571428571</a:t>
          </a:fld>
          <a:endParaRPr lang="en-IN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220980</xdr:colOff>
      <xdr:row>14</xdr:row>
      <xdr:rowOff>15240</xdr:rowOff>
    </xdr:from>
    <xdr:to>
      <xdr:col>21</xdr:col>
      <xdr:colOff>297180</xdr:colOff>
      <xdr:row>19</xdr:row>
      <xdr:rowOff>167640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1EDAD8F4-DD2B-48F2-A80C-5DEED9785DAF}"/>
            </a:ext>
          </a:extLst>
        </xdr:cNvPr>
        <xdr:cNvSpPr/>
      </xdr:nvSpPr>
      <xdr:spPr>
        <a:xfrm>
          <a:off x="12024360" y="2026920"/>
          <a:ext cx="1905000" cy="1066800"/>
        </a:xfrm>
        <a:prstGeom prst="roundRect">
          <a:avLst/>
        </a:prstGeom>
        <a:solidFill>
          <a:srgbClr val="E8C7CE"/>
        </a:solidFill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281940</xdr:colOff>
      <xdr:row>14</xdr:row>
      <xdr:rowOff>114300</xdr:rowOff>
    </xdr:from>
    <xdr:to>
      <xdr:col>21</xdr:col>
      <xdr:colOff>289560</xdr:colOff>
      <xdr:row>16</xdr:row>
      <xdr:rowOff>91440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9B9E893-1F03-4920-9A4C-2521D48A634E}"/>
            </a:ext>
          </a:extLst>
        </xdr:cNvPr>
        <xdr:cNvSpPr txBox="1"/>
      </xdr:nvSpPr>
      <xdr:spPr>
        <a:xfrm>
          <a:off x="12085320" y="2125980"/>
          <a:ext cx="18364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Pending Order Rate</a:t>
          </a:r>
        </a:p>
      </xdr:txBody>
    </xdr:sp>
    <xdr:clientData/>
  </xdr:twoCellAnchor>
  <xdr:twoCellAnchor>
    <xdr:from>
      <xdr:col>18</xdr:col>
      <xdr:colOff>579120</xdr:colOff>
      <xdr:row>16</xdr:row>
      <xdr:rowOff>99060</xdr:rowOff>
    </xdr:from>
    <xdr:to>
      <xdr:col>21</xdr:col>
      <xdr:colOff>144780</xdr:colOff>
      <xdr:row>18</xdr:row>
      <xdr:rowOff>22860</xdr:rowOff>
    </xdr:to>
    <xdr:sp macro="" textlink="KPIDashboard!$B$12">
      <xdr:nvSpPr>
        <xdr:cNvPr id="25" name="TextBox 24">
          <a:extLst>
            <a:ext uri="{FF2B5EF4-FFF2-40B4-BE49-F238E27FC236}">
              <a16:creationId xmlns:a16="http://schemas.microsoft.com/office/drawing/2014/main" id="{461C2167-CECA-445A-AD78-8DB46351FE8A}"/>
            </a:ext>
          </a:extLst>
        </xdr:cNvPr>
        <xdr:cNvSpPr txBox="1"/>
      </xdr:nvSpPr>
      <xdr:spPr>
        <a:xfrm>
          <a:off x="12382500" y="2476500"/>
          <a:ext cx="139446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F3ECDF7-7380-4091-8C6B-876F4E3BFD5E}" type="TxLink">
            <a:rPr lang="en-US" sz="1600" b="1" i="0" u="none" strike="noStrike">
              <a:solidFill>
                <a:srgbClr val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/>
            <a:t>0.285714286</a:t>
          </a:fld>
          <a:endParaRPr lang="en-IN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AF7022-ABA3-4B77-8587-D0ACAC9BDB8F}" autoFormatId="16" applyNumberFormats="0" applyBorderFormats="0" applyFontFormats="0" applyPatternFormats="0" applyAlignmentFormats="0" applyWidthHeightFormats="0">
  <queryTableRefresh nextId="10">
    <queryTableFields count="9">
      <queryTableField id="1" name="order_id" tableColumnId="1"/>
      <queryTableField id="2" name="order_date" tableColumnId="2"/>
      <queryTableField id="3" name="customer_segment" tableColumnId="3"/>
      <queryTableField id="4" name="city" tableColumnId="4"/>
      <queryTableField id="5" name="category" tableColumnId="5"/>
      <queryTableField id="6" name="quantity" tableColumnId="6"/>
      <queryTableField id="7" name="unit_price" tableColumnId="7"/>
      <queryTableField id="8" name="discount_pct" tableColumnId="8"/>
      <queryTableField id="9" name="payment_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CB8374-DDE4-4D8C-92F1-ADA73CF4681F}" name="retail_orders_cleaned" displayName="retail_orders_cleaned" ref="A1:I8" tableType="queryTable" totalsRowShown="0">
  <autoFilter ref="A1:I8" xr:uid="{07CB8374-DDE4-4D8C-92F1-ADA73CF4681F}"/>
  <tableColumns count="9">
    <tableColumn id="1" xr3:uid="{06202641-6379-4004-A627-6AFA14E1F559}" uniqueName="1" name="order_id" queryTableFieldId="1" dataDxfId="5"/>
    <tableColumn id="2" xr3:uid="{5D80FD3E-710B-4269-A57A-E8DE16BC50BA}" uniqueName="2" name="order_date" queryTableFieldId="2" dataDxfId="4"/>
    <tableColumn id="3" xr3:uid="{B1B3F1B6-713D-430B-8720-A63A2D028CF3}" uniqueName="3" name="customer_segment" queryTableFieldId="3" dataDxfId="3"/>
    <tableColumn id="4" xr3:uid="{648E3529-5E72-40B0-8481-3D521BBACA76}" uniqueName="4" name="city" queryTableFieldId="4" dataDxfId="2"/>
    <tableColumn id="5" xr3:uid="{2173AB28-BCCC-459A-BA74-8DE1BFD75B4E}" uniqueName="5" name="category" queryTableFieldId="5" dataDxfId="1"/>
    <tableColumn id="6" xr3:uid="{8B8AEEB6-842D-472B-91B5-F67D5EE2FD25}" uniqueName="6" name="quantity" queryTableFieldId="6"/>
    <tableColumn id="7" xr3:uid="{865079B2-0EEB-4644-80D4-15139BD72708}" uniqueName="7" name="unit_price" queryTableFieldId="7"/>
    <tableColumn id="8" xr3:uid="{9C077305-FEC8-4286-9CF9-11792B190085}" uniqueName="8" name="discount_pct" queryTableFieldId="8"/>
    <tableColumn id="9" xr3:uid="{73902F73-6653-4023-91AA-21D0F490E334}" uniqueName="9" name="payment_status" queryTableFieldId="9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AAEAE2-A699-40A9-9E6B-F4ACCDE04102}" name="Table2" displayName="Table2" ref="A4:B12" totalsRowShown="0" headerRowDxfId="11" headerRowBorderDxfId="10" tableBorderDxfId="9" totalsRowBorderDxfId="8">
  <autoFilter ref="A4:B12" xr:uid="{8AAAEAE2-A699-40A9-9E6B-F4ACCDE04102}"/>
  <tableColumns count="2">
    <tableColumn id="1" xr3:uid="{F12AC198-6E15-4677-A2A0-14FCC819C1FD}" name="KPI" dataDxfId="7"/>
    <tableColumn id="2" xr3:uid="{515B8C7E-2346-4AE7-8AAD-BF491FB979CC}" name="Valu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3BCB-0E97-4BE1-A8AE-F84AAC931CAE}">
  <dimension ref="A1:I8"/>
  <sheetViews>
    <sheetView workbookViewId="0">
      <selection activeCell="K6" sqref="K6"/>
    </sheetView>
  </sheetViews>
  <sheetFormatPr defaultRowHeight="14.4" x14ac:dyDescent="0.3"/>
  <cols>
    <col min="1" max="1" width="10.33203125" bestFit="1" customWidth="1"/>
    <col min="2" max="2" width="12.5546875" bestFit="1" customWidth="1"/>
    <col min="3" max="3" width="19.5546875" bestFit="1" customWidth="1"/>
    <col min="4" max="4" width="9.77734375" bestFit="1" customWidth="1"/>
    <col min="5" max="5" width="12.5546875" bestFit="1" customWidth="1"/>
    <col min="6" max="6" width="10.33203125" bestFit="1" customWidth="1"/>
    <col min="7" max="7" width="11.6640625" bestFit="1" customWidth="1"/>
    <col min="8" max="8" width="14.109375" bestFit="1" customWidth="1"/>
    <col min="9" max="9" width="16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46025</v>
      </c>
      <c r="C2" t="s">
        <v>10</v>
      </c>
      <c r="D2" t="s">
        <v>11</v>
      </c>
      <c r="E2" t="s">
        <v>12</v>
      </c>
      <c r="F2">
        <v>2</v>
      </c>
      <c r="G2">
        <v>799</v>
      </c>
      <c r="H2">
        <v>10</v>
      </c>
      <c r="I2" t="s">
        <v>13</v>
      </c>
    </row>
    <row r="3" spans="1:9" x14ac:dyDescent="0.3">
      <c r="A3" t="s">
        <v>14</v>
      </c>
      <c r="B3" s="1">
        <v>46025</v>
      </c>
      <c r="C3" t="s">
        <v>15</v>
      </c>
      <c r="D3" t="s">
        <v>16</v>
      </c>
      <c r="E3" t="s">
        <v>17</v>
      </c>
      <c r="F3">
        <v>1</v>
      </c>
      <c r="G3">
        <v>1499</v>
      </c>
      <c r="H3">
        <v>0</v>
      </c>
      <c r="I3" t="s">
        <v>13</v>
      </c>
    </row>
    <row r="4" spans="1:9" x14ac:dyDescent="0.3">
      <c r="A4" t="s">
        <v>18</v>
      </c>
      <c r="B4" s="1">
        <v>46027</v>
      </c>
      <c r="C4" t="s">
        <v>10</v>
      </c>
      <c r="D4" t="s">
        <v>11</v>
      </c>
      <c r="E4" t="s">
        <v>17</v>
      </c>
      <c r="F4">
        <v>1</v>
      </c>
      <c r="G4">
        <v>1499</v>
      </c>
      <c r="H4">
        <v>0</v>
      </c>
      <c r="I4" t="s">
        <v>19</v>
      </c>
    </row>
    <row r="5" spans="1:9" x14ac:dyDescent="0.3">
      <c r="A5" t="s">
        <v>20</v>
      </c>
      <c r="B5" s="1">
        <v>46029</v>
      </c>
      <c r="C5" t="s">
        <v>21</v>
      </c>
      <c r="D5" t="s">
        <v>22</v>
      </c>
      <c r="E5" t="s">
        <v>12</v>
      </c>
      <c r="F5">
        <v>3</v>
      </c>
      <c r="G5">
        <v>799</v>
      </c>
      <c r="H5">
        <v>5</v>
      </c>
      <c r="I5" t="s">
        <v>13</v>
      </c>
    </row>
    <row r="6" spans="1:9" x14ac:dyDescent="0.3">
      <c r="A6" t="s">
        <v>23</v>
      </c>
      <c r="B6" s="1">
        <v>46036</v>
      </c>
      <c r="C6" t="s">
        <v>15</v>
      </c>
      <c r="D6" t="s">
        <v>16</v>
      </c>
      <c r="E6" t="s">
        <v>17</v>
      </c>
      <c r="F6">
        <v>2</v>
      </c>
      <c r="G6">
        <v>1499</v>
      </c>
      <c r="H6">
        <v>0</v>
      </c>
      <c r="I6" t="s">
        <v>19</v>
      </c>
    </row>
    <row r="7" spans="1:9" x14ac:dyDescent="0.3">
      <c r="A7" t="s">
        <v>24</v>
      </c>
      <c r="B7" s="1">
        <v>46038</v>
      </c>
      <c r="C7" t="s">
        <v>10</v>
      </c>
      <c r="D7" t="s">
        <v>11</v>
      </c>
      <c r="E7" t="s">
        <v>12</v>
      </c>
      <c r="F7">
        <v>1</v>
      </c>
      <c r="G7">
        <v>799</v>
      </c>
      <c r="H7">
        <v>0</v>
      </c>
      <c r="I7" t="s">
        <v>13</v>
      </c>
    </row>
    <row r="8" spans="1:9" x14ac:dyDescent="0.3">
      <c r="A8" t="s">
        <v>25</v>
      </c>
      <c r="B8" s="1">
        <v>46040</v>
      </c>
      <c r="C8" t="s">
        <v>21</v>
      </c>
      <c r="D8" t="s">
        <v>26</v>
      </c>
      <c r="E8" t="s">
        <v>17</v>
      </c>
      <c r="F8">
        <v>2</v>
      </c>
      <c r="G8">
        <v>1499</v>
      </c>
      <c r="H8">
        <v>15</v>
      </c>
      <c r="I8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E4967-D0BD-49D4-85E7-5F0183CC3942}">
  <dimension ref="A1:I9"/>
  <sheetViews>
    <sheetView workbookViewId="0">
      <selection sqref="A1:XFD1"/>
    </sheetView>
  </sheetViews>
  <sheetFormatPr defaultRowHeight="14.4" x14ac:dyDescent="0.3"/>
  <cols>
    <col min="1" max="1" width="6.6640625" bestFit="1" customWidth="1"/>
    <col min="2" max="2" width="17.88671875" bestFit="1" customWidth="1"/>
    <col min="3" max="3" width="35" bestFit="1" customWidth="1"/>
    <col min="4" max="4" width="43.33203125" bestFit="1" customWidth="1"/>
    <col min="5" max="5" width="5.6640625" bestFit="1" customWidth="1"/>
    <col min="6" max="6" width="25.44140625" bestFit="1" customWidth="1"/>
    <col min="7" max="7" width="23.109375" bestFit="1" customWidth="1"/>
    <col min="8" max="8" width="16.5546875" bestFit="1" customWidth="1"/>
    <col min="9" max="9" width="31.21875" bestFit="1" customWidth="1"/>
  </cols>
  <sheetData>
    <row r="1" spans="1:9" s="2" customFormat="1" x14ac:dyDescent="0.3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</row>
    <row r="2" spans="1:9" x14ac:dyDescent="0.3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</row>
    <row r="3" spans="1:9" x14ac:dyDescent="0.3">
      <c r="A3" t="s">
        <v>46</v>
      </c>
      <c r="B3" t="s">
        <v>47</v>
      </c>
      <c r="C3" t="s">
        <v>48</v>
      </c>
      <c r="D3" t="s">
        <v>49</v>
      </c>
      <c r="E3" t="s">
        <v>41</v>
      </c>
      <c r="F3" t="s">
        <v>42</v>
      </c>
      <c r="G3" t="s">
        <v>43</v>
      </c>
      <c r="H3" t="s">
        <v>44</v>
      </c>
      <c r="I3" t="s">
        <v>50</v>
      </c>
    </row>
    <row r="4" spans="1:9" x14ac:dyDescent="0.3">
      <c r="A4" t="s">
        <v>51</v>
      </c>
      <c r="B4" t="s">
        <v>52</v>
      </c>
      <c r="C4" t="s">
        <v>53</v>
      </c>
      <c r="D4" t="s">
        <v>54</v>
      </c>
      <c r="E4" t="s">
        <v>41</v>
      </c>
      <c r="F4" t="s">
        <v>42</v>
      </c>
      <c r="G4" t="s">
        <v>43</v>
      </c>
      <c r="H4" t="s">
        <v>44</v>
      </c>
      <c r="I4" t="s">
        <v>55</v>
      </c>
    </row>
    <row r="5" spans="1:9" x14ac:dyDescent="0.3">
      <c r="A5" t="s">
        <v>56</v>
      </c>
      <c r="B5" t="s">
        <v>57</v>
      </c>
      <c r="C5" t="s">
        <v>58</v>
      </c>
      <c r="D5" t="s">
        <v>59</v>
      </c>
      <c r="E5" t="s">
        <v>41</v>
      </c>
      <c r="F5" t="s">
        <v>42</v>
      </c>
      <c r="G5" t="s">
        <v>43</v>
      </c>
      <c r="H5" t="s">
        <v>44</v>
      </c>
      <c r="I5" t="s">
        <v>60</v>
      </c>
    </row>
    <row r="6" spans="1:9" x14ac:dyDescent="0.3">
      <c r="A6" t="s">
        <v>61</v>
      </c>
      <c r="B6" t="s">
        <v>62</v>
      </c>
      <c r="C6" t="s">
        <v>63</v>
      </c>
      <c r="D6" t="s">
        <v>64</v>
      </c>
      <c r="E6" t="s">
        <v>41</v>
      </c>
      <c r="F6" t="s">
        <v>65</v>
      </c>
      <c r="G6" t="s">
        <v>43</v>
      </c>
      <c r="H6" t="s">
        <v>44</v>
      </c>
      <c r="I6" t="s">
        <v>66</v>
      </c>
    </row>
    <row r="7" spans="1:9" x14ac:dyDescent="0.3">
      <c r="A7" t="s">
        <v>67</v>
      </c>
      <c r="B7" t="s">
        <v>68</v>
      </c>
      <c r="C7" t="s">
        <v>69</v>
      </c>
      <c r="D7" t="s">
        <v>70</v>
      </c>
      <c r="E7" t="s">
        <v>41</v>
      </c>
      <c r="F7" t="s">
        <v>65</v>
      </c>
      <c r="G7" t="s">
        <v>43</v>
      </c>
      <c r="H7" t="s">
        <v>44</v>
      </c>
      <c r="I7" t="s">
        <v>55</v>
      </c>
    </row>
    <row r="8" spans="1:9" x14ac:dyDescent="0.3">
      <c r="A8" t="s">
        <v>71</v>
      </c>
      <c r="B8" t="s">
        <v>72</v>
      </c>
      <c r="C8" t="s">
        <v>73</v>
      </c>
      <c r="D8" t="s">
        <v>74</v>
      </c>
      <c r="E8" t="s">
        <v>41</v>
      </c>
      <c r="F8" t="s">
        <v>65</v>
      </c>
      <c r="G8" t="s">
        <v>43</v>
      </c>
      <c r="H8" t="s">
        <v>44</v>
      </c>
      <c r="I8" t="s">
        <v>75</v>
      </c>
    </row>
    <row r="9" spans="1:9" x14ac:dyDescent="0.3">
      <c r="A9" t="s">
        <v>76</v>
      </c>
      <c r="B9" t="s">
        <v>77</v>
      </c>
      <c r="C9" t="s">
        <v>78</v>
      </c>
      <c r="D9" t="s">
        <v>79</v>
      </c>
      <c r="E9" t="s">
        <v>41</v>
      </c>
      <c r="F9" t="s">
        <v>80</v>
      </c>
      <c r="G9" t="s">
        <v>43</v>
      </c>
      <c r="H9" t="s">
        <v>44</v>
      </c>
      <c r="I9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8996D-FA1A-4A49-B3B6-A8112E6395E4}">
  <dimension ref="A2:T26"/>
  <sheetViews>
    <sheetView tabSelected="1" workbookViewId="0">
      <selection activeCell="J23" sqref="J23"/>
    </sheetView>
  </sheetViews>
  <sheetFormatPr defaultRowHeight="14.4" x14ac:dyDescent="0.3"/>
  <cols>
    <col min="1" max="1" width="17.88671875" bestFit="1" customWidth="1"/>
    <col min="2" max="2" width="12" style="3" bestFit="1" customWidth="1"/>
  </cols>
  <sheetData>
    <row r="2" spans="1:5" ht="17.399999999999999" x14ac:dyDescent="0.3">
      <c r="A2" s="12" t="s">
        <v>84</v>
      </c>
      <c r="B2" s="12"/>
    </row>
    <row r="4" spans="1:5" s="2" customFormat="1" x14ac:dyDescent="0.3">
      <c r="A4" s="5" t="s">
        <v>81</v>
      </c>
      <c r="B4" s="7" t="s">
        <v>82</v>
      </c>
    </row>
    <row r="5" spans="1:5" x14ac:dyDescent="0.3">
      <c r="A5" s="4" t="s">
        <v>38</v>
      </c>
      <c r="B5" s="8">
        <f>COUNTA(_xlfn.UNIQUE(retail_orders_cleaned[order_id]))</f>
        <v>7</v>
      </c>
    </row>
    <row r="6" spans="1:5" x14ac:dyDescent="0.3">
      <c r="A6" s="4" t="s">
        <v>47</v>
      </c>
      <c r="B6" s="8">
        <f>SUMPRODUCT(retail_orders_cleaned[quantity], retail_orders_cleaned[unit_price])</f>
        <v>13788</v>
      </c>
    </row>
    <row r="7" spans="1:5" x14ac:dyDescent="0.3">
      <c r="A7" s="4" t="s">
        <v>52</v>
      </c>
      <c r="B7" s="8" cm="1">
        <f t="array" ref="B7">SUMPRODUCT(retail_orders_cleaned[quantity], retail_orders_cleaned[unit_price], 1 - retail_orders_cleaned[discount_pct]/100)</f>
        <v>13058.65</v>
      </c>
    </row>
    <row r="8" spans="1:5" x14ac:dyDescent="0.3">
      <c r="A8" s="4" t="s">
        <v>57</v>
      </c>
      <c r="B8" s="8">
        <f>(B7/B5)</f>
        <v>1865.5214285714285</v>
      </c>
    </row>
    <row r="9" spans="1:5" x14ac:dyDescent="0.3">
      <c r="A9" s="4" t="s">
        <v>62</v>
      </c>
      <c r="B9" s="8">
        <f>SUM(retail_orders_cleaned[quantity])</f>
        <v>12</v>
      </c>
      <c r="E9" s="3"/>
    </row>
    <row r="10" spans="1:5" x14ac:dyDescent="0.3">
      <c r="A10" s="4" t="s">
        <v>83</v>
      </c>
      <c r="B10" s="8">
        <f>AVERAGE(retail_orders_cleaned[discount_pct])</f>
        <v>4.2857142857142856</v>
      </c>
    </row>
    <row r="11" spans="1:5" x14ac:dyDescent="0.3">
      <c r="A11" s="4" t="s">
        <v>72</v>
      </c>
      <c r="B11" s="8">
        <f>COUNTIF(retail_orders_cleaned[payment_status], "Paid")/B5</f>
        <v>0.5714285714285714</v>
      </c>
    </row>
    <row r="12" spans="1:5" x14ac:dyDescent="0.3">
      <c r="A12" s="6" t="s">
        <v>77</v>
      </c>
      <c r="B12" s="9">
        <f>COUNTIF(retail_orders_cleaned[payment_status],"Pending")/B5</f>
        <v>0.2857142857142857</v>
      </c>
    </row>
    <row r="24" spans="7:20" x14ac:dyDescent="0.3">
      <c r="G24" s="10" t="s">
        <v>85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7:20" x14ac:dyDescent="0.3"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7:20" x14ac:dyDescent="0.3"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</sheetData>
  <mergeCells count="2">
    <mergeCell ref="G24:T26"/>
    <mergeCell ref="A2:B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074D82-EB8A-40AA-ABD4-87469AF37B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retail-orders-cleaned</vt:lpstr>
      <vt:lpstr>KPI Dictionary</vt:lpstr>
      <vt:lpstr>KPIDashboard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Nivetha L</dc:creator>
  <cp:lastModifiedBy>Nivetha L</cp:lastModifiedBy>
  <dcterms:created xsi:type="dcterms:W3CDTF">2026-08-29T12:04:40Z</dcterms:created>
  <dcterms:modified xsi:type="dcterms:W3CDTF">2026-08-30T13:52:06Z</dcterms:modified>
</cp:coreProperties>
</file>